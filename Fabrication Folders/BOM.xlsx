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ykut Gencer Karaca\Desktop\My Projects\1- LM2596 3A Buck Regulator\Fabrication Folders\"/>
    </mc:Choice>
  </mc:AlternateContent>
  <xr:revisionPtr revIDLastSave="0" documentId="13_ncr:1_{105EFB5B-B9EA-4496-8F69-D3838C5F714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0" i="1" l="1" a="1"/>
  <c r="Q20" i="1" s="1"/>
  <c r="P20" i="1" a="1"/>
  <c r="P20" i="1" s="1"/>
  <c r="O20" i="1" a="1"/>
  <c r="O20" i="1" s="1"/>
  <c r="L20" i="1" a="1"/>
  <c r="L20" i="1" s="1"/>
  <c r="K20" i="1" a="1"/>
  <c r="K20" i="1" s="1"/>
  <c r="J20" i="1" a="1"/>
  <c r="J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<sst xmlns="http://schemas.openxmlformats.org/spreadsheetml/2006/main" count="137" uniqueCount="120">
  <si>
    <t>Category</t>
  </si>
  <si>
    <t>Quantity</t>
  </si>
  <si>
    <t>References</t>
  </si>
  <si>
    <t>Value</t>
  </si>
  <si>
    <t>Package</t>
  </si>
  <si>
    <t>Stock Code</t>
  </si>
  <si>
    <t>Unit Cost</t>
  </si>
  <si>
    <t>Tedarikçi Firma</t>
  </si>
  <si>
    <t>Stok Adedi</t>
  </si>
  <si>
    <t>Capacitors</t>
  </si>
  <si>
    <t>LCSC</t>
  </si>
  <si>
    <t>R1</t>
  </si>
  <si>
    <t>U1</t>
  </si>
  <si>
    <t>Miscellaneous</t>
  </si>
  <si>
    <t>L1</t>
  </si>
  <si>
    <t>C1,C2</t>
  </si>
  <si>
    <t>C3,C4</t>
  </si>
  <si>
    <t>470 uF 50 V</t>
  </si>
  <si>
    <t>220 uF 35 V</t>
  </si>
  <si>
    <t>PKRM-050V471MG200-T/A5.0</t>
  </si>
  <si>
    <t>PKRM-035V221MF115-T/A5.0</t>
  </si>
  <si>
    <t>Özdisan</t>
  </si>
  <si>
    <t>Inductor</t>
  </si>
  <si>
    <t>Inductor_SMD:L_12x12mm_H10mm</t>
  </si>
  <si>
    <t>-</t>
  </si>
  <si>
    <t>J1,J2</t>
  </si>
  <si>
    <t>DG381-3.5-02P-14-00AH</t>
  </si>
  <si>
    <t>Resistor</t>
  </si>
  <si>
    <t>1K</t>
  </si>
  <si>
    <t>CRT05F7E1001</t>
  </si>
  <si>
    <t>Diode</t>
  </si>
  <si>
    <t>D1</t>
  </si>
  <si>
    <t>SK54-HT</t>
  </si>
  <si>
    <t>Integrated Curcuit</t>
  </si>
  <si>
    <t>LM2596R-ADJ</t>
  </si>
  <si>
    <t>LM2596R-ADJ-HTC</t>
  </si>
  <si>
    <t>RV1</t>
  </si>
  <si>
    <t>Potantiometer</t>
  </si>
  <si>
    <t>10K Multiturn</t>
  </si>
  <si>
    <t>3296W-1-103LF-BN</t>
  </si>
  <si>
    <t>Alternatif</t>
  </si>
  <si>
    <t>100 Tane İçin Fiyat(Özdisan)</t>
  </si>
  <si>
    <t>500 Tane İçin Fiyat(Özdisan)</t>
  </si>
  <si>
    <t>1000 Tane İçin Fiyat(Özdisan)</t>
  </si>
  <si>
    <t>68 uH 3.2 A</t>
  </si>
  <si>
    <t>100 Adet En Ucuz Fiyat</t>
  </si>
  <si>
    <t>500 Adet En Ucuz Fiyat</t>
  </si>
  <si>
    <t>1000 Adet En Ucuz Fiyat</t>
  </si>
  <si>
    <t>0.10440 USD</t>
  </si>
  <si>
    <t>Radial_D10.0mm_P5.00mm_L20.00mm</t>
  </si>
  <si>
    <t>Radial_D8.0mm_P5.00mm_L11.50mm</t>
  </si>
  <si>
    <t>0805(2012)</t>
  </si>
  <si>
    <t>DO214AB</t>
  </si>
  <si>
    <t>TO263-5 (D2PAK)</t>
  </si>
  <si>
    <t>Potentiometer_Bourns_3296W_Vertical(TUBE)</t>
  </si>
  <si>
    <t>TerminalBlock_Phoenix_PT-1,5-2-3.5-H_1x02_P3.50mm_Horizontal</t>
  </si>
  <si>
    <t>0.01518 USD</t>
  </si>
  <si>
    <t>0.13392 USD</t>
  </si>
  <si>
    <t>0.0000179 USD</t>
  </si>
  <si>
    <t>0.03248 USD</t>
  </si>
  <si>
    <t>1.35720 USD</t>
  </si>
  <si>
    <t>0.13294 USD</t>
  </si>
  <si>
    <t>0.10440*100=10.44 USD</t>
  </si>
  <si>
    <t>0.09000*500=45.00 USD</t>
  </si>
  <si>
    <t>0.0828*1000=82.80 USD</t>
  </si>
  <si>
    <t>0.02840*100=2.84 USD</t>
  </si>
  <si>
    <t>0.02448*500=12.24 USD</t>
  </si>
  <si>
    <t>0.02448*1000=24.48 USD</t>
  </si>
  <si>
    <t>1.69556*100=169.556 USD</t>
  </si>
  <si>
    <t>1.55991*500=779.955 USD</t>
  </si>
  <si>
    <t>Yeterli Stok Yok</t>
  </si>
  <si>
    <t>0.12528*100=12.528 USD</t>
  </si>
  <si>
    <t>0.11664*500=58.32 USD</t>
  </si>
  <si>
    <t>0.108*1000=108 USD</t>
  </si>
  <si>
    <t>5A Schottky 40 V</t>
  </si>
  <si>
    <t>0.00179*100=0.179 USD</t>
  </si>
  <si>
    <t>0.00168*500=0.84 USD</t>
  </si>
  <si>
    <t>0.00156*1000=1.56 USD</t>
  </si>
  <si>
    <t>0.06048*100=6.048 USD</t>
  </si>
  <si>
    <t>0.05152*500=25.76 USD</t>
  </si>
  <si>
    <t>0.05152*1000=51.52 USD</t>
  </si>
  <si>
    <t>1.35720*100=135.72 USD</t>
  </si>
  <si>
    <t>1.17*500=585 USD</t>
  </si>
  <si>
    <t>1.07640*1000=1,076.4 USD</t>
  </si>
  <si>
    <t>0.10543*100=10.543 USD</t>
  </si>
  <si>
    <t>0.10121*500=50.605 USD</t>
  </si>
  <si>
    <t>0.10121*1000=101.21 USD</t>
  </si>
  <si>
    <t>KM477M050G20RR0VH2FP0</t>
  </si>
  <si>
    <t>0.1035*100=10.35 USD</t>
  </si>
  <si>
    <t>0.0794*500=39.70 USD</t>
  </si>
  <si>
    <t>0.0794*1000=79.40 USD</t>
  </si>
  <si>
    <t>KM227M035F12RR0VH2FP0</t>
  </si>
  <si>
    <t>0.0372*100=3.72 USD</t>
  </si>
  <si>
    <t>0.0297*500=14.85 USD</t>
  </si>
  <si>
    <t>0.0266*1000=26.60 USD</t>
  </si>
  <si>
    <t>CYH125-68UH</t>
  </si>
  <si>
    <t>0.2789*100=27.89 USD</t>
  </si>
  <si>
    <t>0.2065*500=103.25 USD</t>
  </si>
  <si>
    <t>0.2065*1000=206.50 USD</t>
  </si>
  <si>
    <t>KF350-3.5-2P</t>
  </si>
  <si>
    <t>0.0969*100=9.69 USD</t>
  </si>
  <si>
    <t>0.0781*500=39.05 USD</t>
  </si>
  <si>
    <t>0.0781*1000=78.10 USD</t>
  </si>
  <si>
    <t>RMC08055.1K1%N</t>
  </si>
  <si>
    <t>0.0062*100=0.62 USD</t>
  </si>
  <si>
    <t>0.0062*500=3.10 USD</t>
  </si>
  <si>
    <t>0.0049*1000=4.90 USD</t>
  </si>
  <si>
    <t>SS54C</t>
  </si>
  <si>
    <t>0.0678*100=6.78 USD</t>
  </si>
  <si>
    <t>0.0542*500=27.10 USD</t>
  </si>
  <si>
    <t>0.0542*1000=54.20 USD</t>
  </si>
  <si>
    <t>LM2596S-ADJ/TR</t>
  </si>
  <si>
    <t>0.3019*100=30.19 USD</t>
  </si>
  <si>
    <t>0.2483*500=124.15 USD</t>
  </si>
  <si>
    <t>0.2321*1000=232.10 USD</t>
  </si>
  <si>
    <t>3296W-1-103LF</t>
  </si>
  <si>
    <t>0.6465*100=64.65 USD</t>
  </si>
  <si>
    <t>0.6238*500=311.90 USD</t>
  </si>
  <si>
    <t>0.6091*1000=609.10 USD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</si>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</sst>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charset val="1"/>
    </font>
    <font>
      <u/>
      <sz val="11"/>
      <color theme="10"/>
      <name val="Calibri"/>
      <charset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name val="Times New Roman"/>
      <family val="1"/>
    </font>
    <font>
      <u/>
      <sz val="12"/>
      <name val="Times New Roman"/>
      <family val="1"/>
    </font>
    <font>
      <sz val="14"/>
      <color rgb="FFC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49" fontId="5" fillId="0" borderId="0" xfId="0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D27BCC-B322-4313-A10E-627566FE8657}">
  <we:reference id="wa200010725" version="1.0.0.1" store="tr-TR" storeType="OMEX"/>
  <we:alternateReferences>
    <we:reference id="wa200010725" version="1.0.0.1" store="wa200010725" storeType="OMEX"/>
  </we:alternateReferences>
  <we:properties>
    <we:property name="claude.fileId" value="&quot;ec64fcd0-5d27-4b52-8d12-51893431389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disan.com/p/schottky-diyotlar-385/hottech-sk54-ht-475561" TargetMode="External"/><Relationship Id="rId13" Type="http://schemas.openxmlformats.org/officeDocument/2006/relationships/hyperlink" Target="https://lcsc.com/product-detail/Chip-Resistor-Surface-Mount_Tyohm-RMC08055-1K1-N_C269748.html" TargetMode="External"/><Relationship Id="rId3" Type="http://schemas.openxmlformats.org/officeDocument/2006/relationships/hyperlink" Target="https://www.ozdisan.com/p/smt-smd-ve-cip-direncler-194/viking-crt05f7e1001-1054385" TargetMode="External"/><Relationship Id="rId7" Type="http://schemas.openxmlformats.org/officeDocument/2006/relationships/hyperlink" Target="https://www.ozdisan.com/p/aluminyum-kapasitorler-180/koshin-pkrm-035v221mf115-t-a5-0-342579" TargetMode="External"/><Relationship Id="rId12" Type="http://schemas.openxmlformats.org/officeDocument/2006/relationships/hyperlink" Target="https://lcsc.com/product-detail/Screw-terminal_Cixi-Kefa-Elec-KF350-3-5-2P_C474892.html" TargetMode="External"/><Relationship Id="rId2" Type="http://schemas.openxmlformats.org/officeDocument/2006/relationships/hyperlink" Target="https://www.ozdisan.com/p/pcb-klemensler-410/degson-dg381-3-5-02p-14-00ah-599788" TargetMode="External"/><Relationship Id="rId16" Type="http://schemas.openxmlformats.org/officeDocument/2006/relationships/hyperlink" Target="https://lcsc.com/product-detail/Variable-Resistors-Potentiometers_BOURNS-3296W-1-103LF_C34846.html" TargetMode="External"/><Relationship Id="rId1" Type="http://schemas.openxmlformats.org/officeDocument/2006/relationships/hyperlink" Target="https://www.ozdisan.com/p/sabit-induktorler-468/wurth-7447709680-514624" TargetMode="External"/><Relationship Id="rId6" Type="http://schemas.openxmlformats.org/officeDocument/2006/relationships/hyperlink" Target="https://www.ozdisan.com/p/aluminyum-kapasitorler-180/koshin-pkrm-050v471mg200-t-a5-0-349988" TargetMode="External"/><Relationship Id="rId11" Type="http://schemas.openxmlformats.org/officeDocument/2006/relationships/hyperlink" Target="https://www.lcsc.com/product-detail/C7431083.html" TargetMode="External"/><Relationship Id="rId5" Type="http://schemas.openxmlformats.org/officeDocument/2006/relationships/hyperlink" Target="https://www.ozdisan.com/p/trimpot-potansiyometreler-396/bonens-3296w-1-103lf-bn-487776" TargetMode="External"/><Relationship Id="rId15" Type="http://schemas.openxmlformats.org/officeDocument/2006/relationships/hyperlink" Target="https://www.lcsc.com/product-detail/Others_HGSEMI-LM2596S-ADJ-TR_C194351.html" TargetMode="External"/><Relationship Id="rId10" Type="http://schemas.openxmlformats.org/officeDocument/2006/relationships/hyperlink" Target="https://lcsc.com/product-detail/Aluminum-Electrolytic-Capacitors-Leaded_LCSC-220uF-35V_C2063.html" TargetMode="External"/><Relationship Id="rId4" Type="http://schemas.openxmlformats.org/officeDocument/2006/relationships/hyperlink" Target="https://www.ozdisan.com/p/dc-dc-voltaj-regulatorleri-275/htc-lm2596r-adj-htc-587696" TargetMode="External"/><Relationship Id="rId9" Type="http://schemas.openxmlformats.org/officeDocument/2006/relationships/hyperlink" Target="https://lcsc.com/product-detail/Aluminum-Electrolytic-Capacitors-Leaded_Dongguan-Chengxing-Elec-Dongguan-Chengxing-Elec-470uF-50V_C34642.html" TargetMode="External"/><Relationship Id="rId14" Type="http://schemas.openxmlformats.org/officeDocument/2006/relationships/hyperlink" Target="https://www.lcsc.com/product-detail/C161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topLeftCell="A9" zoomScaleNormal="100" workbookViewId="0">
      <selection activeCell="N13" sqref="N13"/>
    </sheetView>
  </sheetViews>
  <sheetFormatPr defaultColWidth="8.5703125" defaultRowHeight="14.25" customHeight="1" x14ac:dyDescent="0.25"/>
  <cols>
    <col min="1" max="1" width="22.28515625" customWidth="1"/>
    <col min="2" max="2" width="11.42578125" customWidth="1"/>
    <col min="3" max="3" width="14.42578125" customWidth="1"/>
    <col min="4" max="4" width="16.85546875" customWidth="1"/>
    <col min="5" max="5" width="66.42578125" customWidth="1"/>
    <col min="6" max="6" width="32.140625" customWidth="1"/>
    <col min="7" max="7" width="15.85546875" customWidth="1"/>
    <col min="8" max="8" width="18" customWidth="1"/>
    <col min="9" max="9" width="17.85546875" customWidth="1"/>
    <col min="10" max="10" width="34" customWidth="1"/>
    <col min="11" max="11" width="33.28515625" customWidth="1"/>
    <col min="12" max="12" width="33.140625" customWidth="1"/>
    <col min="13" max="13" width="33.28515625" customWidth="1"/>
    <col min="14" max="14" width="21.5703125" customWidth="1"/>
    <col min="15" max="15" width="34.7109375" customWidth="1"/>
    <col min="16" max="16" width="33.85546875" customWidth="1"/>
    <col min="17" max="17" width="33.42578125" customWidth="1"/>
  </cols>
  <sheetData>
    <row r="1" spans="1:22" ht="15" x14ac:dyDescent="0.25"/>
    <row r="2" spans="1:22" ht="15" x14ac:dyDescent="0.25"/>
    <row r="3" spans="1:22" ht="15" x14ac:dyDescent="0.25"/>
    <row r="4" spans="1:22" ht="15" x14ac:dyDescent="0.25"/>
    <row r="5" spans="1:22" ht="15" x14ac:dyDescent="0.25"/>
    <row r="6" spans="1:22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2" ht="15.7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2" ht="15.7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2"/>
    </row>
    <row r="9" spans="1:22" ht="15.7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2"/>
    </row>
    <row r="10" spans="1:22" ht="15.75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3"/>
    </row>
    <row r="11" spans="1:22" ht="18.75" x14ac:dyDescent="0.3">
      <c r="A11" s="10" t="s">
        <v>0</v>
      </c>
      <c r="B11" s="10" t="s">
        <v>1</v>
      </c>
      <c r="C11" s="10" t="s">
        <v>2</v>
      </c>
      <c r="D11" s="10" t="s">
        <v>3</v>
      </c>
      <c r="E11" s="10" t="s">
        <v>4</v>
      </c>
      <c r="F11" s="10" t="s">
        <v>5</v>
      </c>
      <c r="G11" s="10" t="s">
        <v>6</v>
      </c>
      <c r="H11" s="10" t="s">
        <v>7</v>
      </c>
      <c r="I11" s="10" t="s">
        <v>8</v>
      </c>
      <c r="J11" s="10" t="s">
        <v>41</v>
      </c>
      <c r="K11" s="10" t="s">
        <v>42</v>
      </c>
      <c r="L11" s="10" t="s">
        <v>43</v>
      </c>
      <c r="M11" s="10" t="s">
        <v>40</v>
      </c>
      <c r="N11" s="10" t="s">
        <v>7</v>
      </c>
      <c r="O11" s="10" t="s">
        <v>45</v>
      </c>
      <c r="P11" s="10" t="s">
        <v>46</v>
      </c>
      <c r="Q11" s="10" t="s">
        <v>47</v>
      </c>
      <c r="R11" s="11"/>
      <c r="S11" s="6"/>
      <c r="T11" s="3"/>
      <c r="U11" s="5"/>
      <c r="V11" s="5"/>
    </row>
    <row r="12" spans="1:22" ht="14.25" customHeight="1" x14ac:dyDescent="0.25">
      <c r="A12" s="6" t="s">
        <v>9</v>
      </c>
      <c r="B12" s="6">
        <v>2</v>
      </c>
      <c r="C12" s="6" t="s">
        <v>15</v>
      </c>
      <c r="D12" s="6" t="s">
        <v>17</v>
      </c>
      <c r="E12" s="6" t="s">
        <v>49</v>
      </c>
      <c r="F12" s="9" t="s">
        <v>19</v>
      </c>
      <c r="G12" s="6" t="s">
        <v>48</v>
      </c>
      <c r="H12" s="6" t="s">
        <v>21</v>
      </c>
      <c r="I12" s="7">
        <v>41255</v>
      </c>
      <c r="J12" s="6" t="s">
        <v>62</v>
      </c>
      <c r="K12" s="7" t="s">
        <v>63</v>
      </c>
      <c r="L12" s="6" t="s">
        <v>64</v>
      </c>
      <c r="M12" s="13" t="s">
        <v>87</v>
      </c>
      <c r="N12" s="12" t="s">
        <v>10</v>
      </c>
      <c r="O12" s="19" t="s">
        <v>88</v>
      </c>
      <c r="P12" s="19" t="s">
        <v>89</v>
      </c>
      <c r="Q12" s="19" t="s">
        <v>90</v>
      </c>
      <c r="R12" s="6"/>
      <c r="S12" s="6"/>
      <c r="T12" s="3"/>
      <c r="U12" s="5"/>
      <c r="V12" s="5"/>
    </row>
    <row r="13" spans="1:22" ht="14.25" customHeight="1" x14ac:dyDescent="0.25">
      <c r="A13" s="6" t="s">
        <v>9</v>
      </c>
      <c r="B13" s="6">
        <v>2</v>
      </c>
      <c r="C13" s="6" t="s">
        <v>16</v>
      </c>
      <c r="D13" s="6" t="s">
        <v>18</v>
      </c>
      <c r="E13" s="6" t="s">
        <v>50</v>
      </c>
      <c r="F13" s="9" t="s">
        <v>20</v>
      </c>
      <c r="G13" s="6" t="s">
        <v>48</v>
      </c>
      <c r="H13" s="6" t="s">
        <v>21</v>
      </c>
      <c r="I13" s="7">
        <v>101166</v>
      </c>
      <c r="J13" s="6" t="s">
        <v>65</v>
      </c>
      <c r="K13" s="7" t="s">
        <v>66</v>
      </c>
      <c r="L13" s="7" t="s">
        <v>67</v>
      </c>
      <c r="M13" s="14" t="s">
        <v>91</v>
      </c>
      <c r="N13" s="8" t="s">
        <v>10</v>
      </c>
      <c r="O13" s="6" t="s">
        <v>92</v>
      </c>
      <c r="P13" s="6" t="s">
        <v>93</v>
      </c>
      <c r="Q13" s="6" t="s">
        <v>94</v>
      </c>
      <c r="R13" s="6"/>
      <c r="S13" s="6"/>
      <c r="T13" s="3"/>
      <c r="U13" s="5"/>
      <c r="V13" s="5"/>
    </row>
    <row r="14" spans="1:22" ht="14.25" customHeight="1" x14ac:dyDescent="0.25">
      <c r="A14" s="6" t="s">
        <v>22</v>
      </c>
      <c r="B14" s="6">
        <v>1</v>
      </c>
      <c r="C14" s="6" t="s">
        <v>14</v>
      </c>
      <c r="D14" s="6" t="s">
        <v>44</v>
      </c>
      <c r="E14" s="6" t="s">
        <v>23</v>
      </c>
      <c r="F14" s="9">
        <v>7447709680</v>
      </c>
      <c r="G14" s="6" t="s">
        <v>56</v>
      </c>
      <c r="H14" s="6" t="s">
        <v>21</v>
      </c>
      <c r="I14" s="6">
        <v>815</v>
      </c>
      <c r="J14" s="6" t="s">
        <v>68</v>
      </c>
      <c r="K14" s="6" t="s">
        <v>69</v>
      </c>
      <c r="L14" s="7" t="s">
        <v>70</v>
      </c>
      <c r="M14" s="15" t="s">
        <v>95</v>
      </c>
      <c r="N14" s="6" t="s">
        <v>10</v>
      </c>
      <c r="O14" s="6" t="s">
        <v>96</v>
      </c>
      <c r="P14" s="6" t="s">
        <v>97</v>
      </c>
      <c r="Q14" s="6" t="s">
        <v>98</v>
      </c>
      <c r="R14" s="6"/>
      <c r="S14" s="6"/>
      <c r="T14" s="3"/>
      <c r="U14" s="5"/>
      <c r="V14" s="5"/>
    </row>
    <row r="15" spans="1:22" ht="14.25" customHeight="1" x14ac:dyDescent="0.25">
      <c r="A15" s="6" t="s">
        <v>13</v>
      </c>
      <c r="B15" s="6">
        <v>2</v>
      </c>
      <c r="C15" s="6" t="s">
        <v>25</v>
      </c>
      <c r="D15" s="6" t="s">
        <v>24</v>
      </c>
      <c r="E15" s="6" t="s">
        <v>55</v>
      </c>
      <c r="F15" s="9" t="s">
        <v>26</v>
      </c>
      <c r="G15" s="6" t="s">
        <v>57</v>
      </c>
      <c r="H15" s="6" t="s">
        <v>21</v>
      </c>
      <c r="I15" s="7">
        <v>8936</v>
      </c>
      <c r="J15" s="6" t="s">
        <v>71</v>
      </c>
      <c r="K15" s="7" t="s">
        <v>72</v>
      </c>
      <c r="L15" s="6" t="s">
        <v>73</v>
      </c>
      <c r="M15" s="14" t="s">
        <v>99</v>
      </c>
      <c r="N15" s="7" t="s">
        <v>10</v>
      </c>
      <c r="O15" s="6" t="s">
        <v>100</v>
      </c>
      <c r="P15" s="6" t="s">
        <v>101</v>
      </c>
      <c r="Q15" s="6" t="s">
        <v>102</v>
      </c>
      <c r="R15" s="6"/>
      <c r="S15" s="6"/>
      <c r="T15" s="3"/>
      <c r="U15" s="5"/>
      <c r="V15" s="5"/>
    </row>
    <row r="16" spans="1:22" ht="14.25" customHeight="1" x14ac:dyDescent="0.25">
      <c r="A16" s="6" t="s">
        <v>27</v>
      </c>
      <c r="B16" s="6">
        <v>1</v>
      </c>
      <c r="C16" s="6" t="s">
        <v>11</v>
      </c>
      <c r="D16" s="6" t="s">
        <v>28</v>
      </c>
      <c r="E16" s="6" t="s">
        <v>51</v>
      </c>
      <c r="F16" s="9" t="s">
        <v>29</v>
      </c>
      <c r="G16" s="6" t="s">
        <v>58</v>
      </c>
      <c r="H16" s="6" t="s">
        <v>21</v>
      </c>
      <c r="I16" s="7">
        <v>339229</v>
      </c>
      <c r="J16" s="6" t="s">
        <v>75</v>
      </c>
      <c r="K16" s="7" t="s">
        <v>76</v>
      </c>
      <c r="L16" s="7" t="s">
        <v>77</v>
      </c>
      <c r="M16" s="14" t="s">
        <v>103</v>
      </c>
      <c r="N16" s="16" t="s">
        <v>10</v>
      </c>
      <c r="O16" s="6" t="s">
        <v>104</v>
      </c>
      <c r="P16" s="6" t="s">
        <v>105</v>
      </c>
      <c r="Q16" s="6" t="s">
        <v>106</v>
      </c>
      <c r="R16" s="6"/>
      <c r="S16" s="6"/>
      <c r="T16" s="3"/>
      <c r="U16" s="5"/>
      <c r="V16" s="5"/>
    </row>
    <row r="17" spans="1:22" ht="14.25" customHeight="1" x14ac:dyDescent="0.25">
      <c r="A17" s="6" t="s">
        <v>30</v>
      </c>
      <c r="B17" s="6">
        <v>1</v>
      </c>
      <c r="C17" s="6" t="s">
        <v>31</v>
      </c>
      <c r="D17" s="6" t="s">
        <v>74</v>
      </c>
      <c r="E17" s="6" t="s">
        <v>52</v>
      </c>
      <c r="F17" s="9" t="s">
        <v>32</v>
      </c>
      <c r="G17" s="6" t="s">
        <v>59</v>
      </c>
      <c r="H17" s="6" t="s">
        <v>21</v>
      </c>
      <c r="I17" s="7">
        <v>5647</v>
      </c>
      <c r="J17" s="6" t="s">
        <v>78</v>
      </c>
      <c r="K17" s="7" t="s">
        <v>79</v>
      </c>
      <c r="L17" s="7" t="s">
        <v>80</v>
      </c>
      <c r="M17" s="14" t="s">
        <v>107</v>
      </c>
      <c r="N17" s="7" t="s">
        <v>10</v>
      </c>
      <c r="O17" s="6" t="s">
        <v>108</v>
      </c>
      <c r="P17" s="6" t="s">
        <v>109</v>
      </c>
      <c r="Q17" s="6" t="s">
        <v>110</v>
      </c>
      <c r="R17" s="6"/>
      <c r="S17" s="6"/>
      <c r="T17" s="3"/>
      <c r="U17" s="5"/>
      <c r="V17" s="5"/>
    </row>
    <row r="18" spans="1:22" ht="14.25" customHeight="1" x14ac:dyDescent="0.25">
      <c r="A18" s="6" t="s">
        <v>33</v>
      </c>
      <c r="B18" s="6">
        <v>1</v>
      </c>
      <c r="C18" s="6" t="s">
        <v>12</v>
      </c>
      <c r="D18" s="6" t="s">
        <v>34</v>
      </c>
      <c r="E18" s="6" t="s">
        <v>53</v>
      </c>
      <c r="F18" s="9" t="s">
        <v>35</v>
      </c>
      <c r="G18" s="6" t="s">
        <v>60</v>
      </c>
      <c r="H18" s="6" t="s">
        <v>21</v>
      </c>
      <c r="I18" s="7">
        <v>2585</v>
      </c>
      <c r="J18" s="7" t="s">
        <v>81</v>
      </c>
      <c r="K18" s="6" t="s">
        <v>82</v>
      </c>
      <c r="L18" s="7" t="s">
        <v>83</v>
      </c>
      <c r="M18" s="14" t="s">
        <v>111</v>
      </c>
      <c r="N18" s="7" t="s">
        <v>10</v>
      </c>
      <c r="O18" s="6" t="s">
        <v>112</v>
      </c>
      <c r="P18" s="6" t="s">
        <v>113</v>
      </c>
      <c r="Q18" s="6" t="s">
        <v>114</v>
      </c>
      <c r="R18" s="6"/>
      <c r="S18" s="6"/>
      <c r="T18" s="3"/>
      <c r="U18" s="5"/>
      <c r="V18" s="5"/>
    </row>
    <row r="19" spans="1:22" ht="14.25" customHeight="1" x14ac:dyDescent="0.25">
      <c r="A19" s="6" t="s">
        <v>37</v>
      </c>
      <c r="B19" s="6">
        <v>1</v>
      </c>
      <c r="C19" s="6" t="s">
        <v>36</v>
      </c>
      <c r="D19" s="6" t="s">
        <v>38</v>
      </c>
      <c r="E19" s="6" t="s">
        <v>54</v>
      </c>
      <c r="F19" s="9" t="s">
        <v>39</v>
      </c>
      <c r="G19" s="6" t="s">
        <v>61</v>
      </c>
      <c r="H19" s="6" t="s">
        <v>21</v>
      </c>
      <c r="I19" s="7">
        <v>15125</v>
      </c>
      <c r="J19" s="7" t="s">
        <v>84</v>
      </c>
      <c r="K19" s="7" t="s">
        <v>85</v>
      </c>
      <c r="L19" s="6" t="s">
        <v>86</v>
      </c>
      <c r="M19" s="14" t="s">
        <v>115</v>
      </c>
      <c r="N19" s="7" t="s">
        <v>10</v>
      </c>
      <c r="O19" s="6" t="s">
        <v>116</v>
      </c>
      <c r="P19" s="6" t="s">
        <v>117</v>
      </c>
      <c r="Q19" s="6" t="s">
        <v>118</v>
      </c>
      <c r="R19" s="6"/>
      <c r="S19" s="6"/>
      <c r="T19" s="3"/>
      <c r="U19" s="5"/>
      <c r="V19" s="5"/>
    </row>
    <row r="20" spans="1:22" ht="14.25" customHeight="1" x14ac:dyDescent="0.25">
      <c r="A20" s="17" t="s">
        <v>119</v>
      </c>
      <c r="B20" s="6"/>
      <c r="C20" s="6"/>
      <c r="D20" s="6"/>
      <c r="E20" s="6"/>
      <c r="F20" s="6"/>
      <c r="G20" s="6"/>
      <c r="H20" s="6"/>
      <c r="I20" s="6"/>
      <c r="J20" s="18" cm="1">
        <f t="array" ref="J20">SUMPRODUCT(IFERROR(--SUBSTITUTE(TRIM(MID(J12:J19,FIND("=",J12:J19)+1,FIND(" USD",J12:J19)-FIND("=",J12:J19)-1)),",",""),0))</f>
        <v>347.85400000000004</v>
      </c>
      <c r="K20" s="18" cm="1">
        <f t="array" ref="K20">SUMPRODUCT(IFERROR(--SUBSTITUTE(TRIM(MID(K12:K19,FIND("=",K12:K19)+1,FIND(" USD",K12:K19)-FIND("=",K12:K19)-1)),",",""),0))</f>
        <v>1557.7200000000003</v>
      </c>
      <c r="L20" s="18" cm="1">
        <f t="array" ref="L20">SUMPRODUCT(IFERROR(--SUBSTITUTE(TRIM(MID(L12:L19,FIND("=",L12:L19)+1,FIND(" USD",L12:L19)-FIND("=",L12:L19)-1)),",",""),0))</f>
        <v>1445.9700000000003</v>
      </c>
      <c r="M20" s="6"/>
      <c r="N20" s="6"/>
      <c r="O20" s="18" cm="1">
        <f t="array" ref="O20">SUMPRODUCT(IFERROR(--SUBSTITUTE(TRIM(MID(O12:O19,FIND("=",O12:O19)+1,FIND(" USD",O12:O19)-FIND("=",O12:O19)-1)),",",""),0))</f>
        <v>153.88999999999999</v>
      </c>
      <c r="P20" s="18" cm="1">
        <f t="array" ref="P20">SUMPRODUCT(IFERROR(--SUBSTITUTE(TRIM(MID(P12:P19,FIND("=",P12:P19)+1,FIND(" USD",P12:P19)-FIND("=",P12:P19)-1)),",",""),0))</f>
        <v>663.1</v>
      </c>
      <c r="Q20" s="18" cm="1">
        <f t="array" ref="Q20">SUMPRODUCT(IFERROR(--SUBSTITUTE(TRIM(MID(Q12:Q19,FIND("=",Q12:Q19)+1,FIND(" USD",Q12:Q19)-FIND("=",Q12:Q19)-1)),",",""),0))</f>
        <v>1290.9000000000001</v>
      </c>
      <c r="R20" s="6"/>
      <c r="S20" s="6"/>
      <c r="T20" s="3"/>
      <c r="U20" s="5"/>
      <c r="V20" s="5"/>
    </row>
    <row r="21" spans="1:22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4"/>
      <c r="U21" s="5"/>
      <c r="V21" s="5"/>
    </row>
    <row r="22" spans="1:22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4"/>
      <c r="U22" s="5"/>
      <c r="V22" s="5"/>
    </row>
    <row r="23" spans="1:22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4"/>
      <c r="U23" s="5"/>
      <c r="V23" s="5"/>
    </row>
    <row r="24" spans="1:22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4"/>
      <c r="U24" s="5"/>
      <c r="V24" s="5"/>
    </row>
    <row r="25" spans="1:22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4"/>
      <c r="U25" s="5"/>
      <c r="V25" s="5"/>
    </row>
    <row r="26" spans="1:22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4"/>
      <c r="U26" s="5"/>
      <c r="V26" s="5"/>
    </row>
    <row r="27" spans="1:22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"/>
      <c r="U27" s="5"/>
      <c r="V27" s="5"/>
    </row>
    <row r="28" spans="1:22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5"/>
      <c r="U28" s="5"/>
      <c r="V28" s="5"/>
    </row>
    <row r="29" spans="1:22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5"/>
      <c r="U29" s="5"/>
      <c r="V29" s="5"/>
    </row>
    <row r="30" spans="1:22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5"/>
      <c r="U30" s="5"/>
      <c r="V30" s="5"/>
    </row>
    <row r="31" spans="1:22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5"/>
      <c r="U31" s="5"/>
      <c r="V31" s="5"/>
    </row>
    <row r="32" spans="1:22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5"/>
      <c r="U32" s="5"/>
      <c r="V32" s="5"/>
    </row>
    <row r="33" spans="1:22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5"/>
      <c r="U33" s="5"/>
      <c r="V33" s="5"/>
    </row>
    <row r="34" spans="1:22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5"/>
    </row>
  </sheetData>
  <hyperlinks>
    <hyperlink ref="F14" r:id="rId1" display="https://www.ozdisan.com/p/sabit-induktorler-468/wurth-7447709680-514624" xr:uid="{A293AAB7-B50A-4AD2-8276-76AF8F438233}"/>
    <hyperlink ref="F15" r:id="rId2" display="https://www.ozdisan.com/p/pcb-klemensler-410/degson-dg381-3-5-02p-14-00ah-599788" xr:uid="{4F6CAF49-05BE-4BBD-A80B-F6637DF3F4D4}"/>
    <hyperlink ref="F16" r:id="rId3" display="https://www.ozdisan.com/p/smt-smd-ve-cip-direncler-194/viking-crt05f7e1001-1054385" xr:uid="{DF275AC0-DF42-4E86-AED4-D6527C7B4F92}"/>
    <hyperlink ref="F18" r:id="rId4" display="https://www.ozdisan.com/p/dc-dc-voltaj-regulatorleri-275/htc-lm2596r-adj-htc-587696" xr:uid="{A9E694B2-583E-4B53-B3F4-0C5224EBD057}"/>
    <hyperlink ref="F19" r:id="rId5" display="https://www.ozdisan.com/p/trimpot-potansiyometreler-396/bonens-3296w-1-103lf-bn-487776" xr:uid="{5A8EFEEE-D549-4516-B98A-EC8AFC5628B5}"/>
    <hyperlink ref="F12" r:id="rId6" display="https://www.ozdisan.com/p/aluminyum-kapasitorler-180/koshin-pkrm-050v471mg200-t-a5-0-349988" xr:uid="{2E4DAA9D-758D-45D2-AB4E-FA7C7B6DCA11}"/>
    <hyperlink ref="F13" r:id="rId7" xr:uid="{420EBB57-954E-4187-8ACB-18E536CD44CF}"/>
    <hyperlink ref="F17" r:id="rId8" display="https://www.ozdisan.com/p/schottky-diyotlar-385/hottech-sk54-ht-475561" xr:uid="{82A8AFAE-E69E-4AA9-8B4E-16472317B088}"/>
    <hyperlink ref="M12" r:id="rId9" tooltip="LCSC ürün sayfası - C34642" xr:uid="{952AED46-A45E-4DF3-8694-76163CCD72B1}"/>
    <hyperlink ref="M13" r:id="rId10" tooltip="LCSC ürün sayfası - C2063" xr:uid="{C4F49461-6946-4D94-A135-F68370B0DDA1}"/>
    <hyperlink ref="M14" r:id="rId11" tooltip="LCSC ürün sayfası - C7431083" xr:uid="{62271903-F654-4BF0-9B4E-5372B85C4470}"/>
    <hyperlink ref="M15" r:id="rId12" tooltip="LCSC ürün sayfası - C474892" xr:uid="{FBA0A1BE-C15C-49A3-96A7-859D7BE64E83}"/>
    <hyperlink ref="M16" r:id="rId13" tooltip="LCSC ürün sayfası - C269748" xr:uid="{1CE241BB-F679-41A7-B054-12FEF223B2A2}"/>
    <hyperlink ref="M17" r:id="rId14" tooltip="LCSC ürün sayfası - C16103" xr:uid="{042CEB7F-1722-4563-AA3F-E341FD5A30D3}"/>
    <hyperlink ref="M18" r:id="rId15" tooltip="LCSC ürün sayfası - C194351" xr:uid="{D06A2485-D314-4689-B00C-726D0D521F6C}"/>
    <hyperlink ref="M19" r:id="rId16" tooltip="LCSC ürün sayfası - C34846" xr:uid="{A11F0FB2-7D20-4A9F-8EA1-E97856967B7E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Aykut Gencer Karaca</cp:lastModifiedBy>
  <cp:revision>15</cp:revision>
  <dcterms:created xsi:type="dcterms:W3CDTF">2025-10-28T08:26:15Z</dcterms:created>
  <dcterms:modified xsi:type="dcterms:W3CDTF">2026-07-06T19:28:49Z</dcterms:modified>
  <dc:language>en-GB</dc:language>
</cp:coreProperties>
</file>